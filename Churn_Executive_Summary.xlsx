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raed/Desktop/Resumes/Resume Projects/Customer Churn &amp; Revenue Risk Analysis/"/>
    </mc:Choice>
  </mc:AlternateContent>
  <xr:revisionPtr revIDLastSave="0" documentId="8_{D5401815-614C-424A-992C-F9A7E5F92AFB}" xr6:coauthVersionLast="47" xr6:coauthVersionMax="47" xr10:uidLastSave="{00000000-0000-0000-0000-000000000000}"/>
  <bookViews>
    <workbookView xWindow="0" yWindow="0" windowWidth="28800" windowHeight="18000" xr2:uid="{D5ED89B1-2E15-6144-96C8-CCA25D92231F}"/>
  </bookViews>
  <sheets>
    <sheet name="Summary" sheetId="1" r:id="rId1"/>
    <sheet name="Revenue Breakdown" sheetId="2" r:id="rId2"/>
    <sheet name="At-Risk Customers" sheetId="3" r:id="rId3"/>
    <sheet name="What-If Model" sheetId="5" r:id="rId4"/>
  </sheets>
  <definedNames>
    <definedName name="churn_scored" localSheetId="0">Summary!$A$120:$T$140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3" i="5" s="1"/>
  <c r="B14" i="5" s="1"/>
  <c r="B15" i="5" s="1"/>
  <c r="B11" i="5"/>
  <c r="B6" i="5"/>
  <c r="D9" i="3"/>
  <c r="D3" i="3"/>
  <c r="D7" i="3"/>
  <c r="D6" i="3"/>
  <c r="D5" i="3"/>
  <c r="D4" i="3"/>
  <c r="D2" i="3"/>
  <c r="D21" i="3"/>
  <c r="D20" i="3"/>
  <c r="D18" i="3"/>
  <c r="D19" i="3"/>
  <c r="D17" i="3"/>
  <c r="D14" i="3"/>
  <c r="D16" i="3"/>
  <c r="D15" i="3"/>
  <c r="D12" i="3"/>
  <c r="D13" i="3"/>
  <c r="D10" i="3"/>
  <c r="D11" i="3"/>
  <c r="D8" i="3"/>
  <c r="M4" i="2"/>
  <c r="M5" i="2"/>
  <c r="M3" i="2"/>
  <c r="E4" i="2"/>
  <c r="E5" i="2"/>
  <c r="E3" i="2"/>
  <c r="S141" i="1"/>
  <c r="B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1C8E9-7F6B-1E46-9792-6FE8CD380BF0}" name="churn_scored" type="6" refreshedVersion="8" background="1" saveData="1">
    <textPr codePage="10000" sourceFile="/Users/aburaed/Desktop/Resumes/Resume Projects/Customer Churn &amp; Revenue Risk Analysis/ChurnProject/churn_scored.csv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<sst xmlns="http://schemas.openxmlformats.org/spreadsheetml/2006/main" count="340" uniqueCount="115">
  <si>
    <t>customer_id</t>
  </si>
  <si>
    <t>full_name</t>
  </si>
  <si>
    <t>segment</t>
  </si>
  <si>
    <t>region</t>
  </si>
  <si>
    <t>industry</t>
  </si>
  <si>
    <t>account_manager</t>
  </si>
  <si>
    <t>plan_name</t>
  </si>
  <si>
    <t>monthly_revenue</t>
  </si>
  <si>
    <t>contract_type</t>
  </si>
  <si>
    <t>status</t>
  </si>
  <si>
    <t>churned</t>
  </si>
  <si>
    <t>tenure_years</t>
  </si>
  <si>
    <t>avg_usage_score</t>
  </si>
  <si>
    <t>avg_logins</t>
  </si>
  <si>
    <t>avg_features_used</t>
  </si>
  <si>
    <t>billing_tickets</t>
  </si>
  <si>
    <t>avg_satisfaction</t>
  </si>
  <si>
    <t>risk_level</t>
  </si>
  <si>
    <t>churn_probability</t>
  </si>
  <si>
    <t>model_risk_label</t>
  </si>
  <si>
    <t>TrueNorth Consulting</t>
  </si>
  <si>
    <t>SMB</t>
  </si>
  <si>
    <t>East</t>
  </si>
  <si>
    <t>Consulting</t>
  </si>
  <si>
    <t>Marcus Hill</t>
  </si>
  <si>
    <t>Basic</t>
  </si>
  <si>
    <t>Monthly</t>
  </si>
  <si>
    <t>Churned</t>
  </si>
  <si>
    <t>CRITICAL</t>
  </si>
  <si>
    <t>Critical</t>
  </si>
  <si>
    <t>Maple Street Media</t>
  </si>
  <si>
    <t>South</t>
  </si>
  <si>
    <t>Media</t>
  </si>
  <si>
    <t>Dana Reeves</t>
  </si>
  <si>
    <t>RedRock Construction</t>
  </si>
  <si>
    <t>Mid-Market</t>
  </si>
  <si>
    <t>West</t>
  </si>
  <si>
    <t>Construction</t>
  </si>
  <si>
    <t>Sarah Lane</t>
  </si>
  <si>
    <t>Professional</t>
  </si>
  <si>
    <t>GreenLeaf Foods</t>
  </si>
  <si>
    <t>North</t>
  </si>
  <si>
    <t>Food &amp; Bev</t>
  </si>
  <si>
    <t>JetStream Travel</t>
  </si>
  <si>
    <t>Travel</t>
  </si>
  <si>
    <t>PineCrest Hotels</t>
  </si>
  <si>
    <t>Hospitality</t>
  </si>
  <si>
    <t>Delta Logistics</t>
  </si>
  <si>
    <t>Logistics</t>
  </si>
  <si>
    <t>BlueStar Retail</t>
  </si>
  <si>
    <t>Retail</t>
  </si>
  <si>
    <t>QuickShip Couriers</t>
  </si>
  <si>
    <t>Active</t>
  </si>
  <si>
    <t>MEDIUM</t>
  </si>
  <si>
    <t>Low</t>
  </si>
  <si>
    <t>Echo Marketing</t>
  </si>
  <si>
    <t>Marketing</t>
  </si>
  <si>
    <t>Northgate Software</t>
  </si>
  <si>
    <t>Technology</t>
  </si>
  <si>
    <t>LOW</t>
  </si>
  <si>
    <t>Keystone Partners</t>
  </si>
  <si>
    <t>Annual</t>
  </si>
  <si>
    <t>IronBridge Mfg</t>
  </si>
  <si>
    <t>Manufacturing</t>
  </si>
  <si>
    <t>LightPath Energy</t>
  </si>
  <si>
    <t>Enterprise</t>
  </si>
  <si>
    <t>Energy</t>
  </si>
  <si>
    <t>SilverBay Analytics</t>
  </si>
  <si>
    <t>Apex Solutions</t>
  </si>
  <si>
    <t>Orion Pharma</t>
  </si>
  <si>
    <t>Healthcare</t>
  </si>
  <si>
    <t>CoreHealth Systems</t>
  </si>
  <si>
    <t>Harbor Insurance</t>
  </si>
  <si>
    <t>Insurance</t>
  </si>
  <si>
    <t>Frontier Finance</t>
  </si>
  <si>
    <t>Finance</t>
  </si>
  <si>
    <t>Customer Churn and Revenue Risk Analysis — Executive Summary</t>
  </si>
  <si>
    <t>Total Active MRR</t>
  </si>
  <si>
    <t>Customers at Risk</t>
  </si>
  <si>
    <t>Overall Churn Rate</t>
  </si>
  <si>
    <t>Active Customers</t>
  </si>
  <si>
    <t>Total Customers</t>
  </si>
  <si>
    <t>Churned Customers</t>
  </si>
  <si>
    <t>Total Active MMR</t>
  </si>
  <si>
    <t>Total Active AAR</t>
  </si>
  <si>
    <t>Revenue Lost to Churn (monthly)</t>
  </si>
  <si>
    <t>Mid-Market Churn Rate</t>
  </si>
  <si>
    <t>SMB Churn Rate</t>
  </si>
  <si>
    <t>Avg Churn Probability (Active)</t>
  </si>
  <si>
    <t>Enterprise Churn Rate</t>
  </si>
  <si>
    <t>Source: churn_scored.csv | Model: Logistic Regression (scikit-learn) | Usage weight: 50% · Satisfaction weight: 30% · Tenure weight: 20%</t>
  </si>
  <si>
    <t>customers</t>
  </si>
  <si>
    <t>metric</t>
  </si>
  <si>
    <t>value</t>
  </si>
  <si>
    <t>mrr</t>
  </si>
  <si>
    <t>arr</t>
  </si>
  <si>
    <t>Mixed</t>
  </si>
  <si>
    <t>MRR breakdown table</t>
  </si>
  <si>
    <t>Churn rate by segment </t>
  </si>
  <si>
    <t>total</t>
  </si>
  <si>
    <t>active</t>
  </si>
  <si>
    <t>churn rate%</t>
  </si>
  <si>
    <t>annual_revenue_at_risk</t>
  </si>
  <si>
    <t>What-If Churn Reduction Scenario Model</t>
  </si>
  <si>
    <t>Assumptions</t>
  </si>
  <si>
    <t>Current Active Customers</t>
  </si>
  <si>
    <t>Average MRR Per Customer</t>
  </si>
  <si>
    <t>Current Churn Rate</t>
  </si>
  <si>
    <t>Target Churn Rate</t>
  </si>
  <si>
    <t>Projected Impact</t>
  </si>
  <si>
    <t>Churn Rate Reduction</t>
  </si>
  <si>
    <t>Customers Retained</t>
  </si>
  <si>
    <t>MRR Recovered</t>
  </si>
  <si>
    <t>Annual Revenue Recovered</t>
  </si>
  <si>
    <t>3-Year Revenue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</si>
</sst>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8" formatCode="0.0%"/>
    <numFmt numFmtId="170" formatCode="&quot;$&quot;#,##0"/>
  </numFmts>
  <fonts count="1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0"/>
      <name val="Aptos Narrow (Body)"/>
    </font>
    <font>
      <sz val="22"/>
      <color theme="4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i/>
      <sz val="9"/>
      <color theme="2" tint="-0.499984740745262"/>
      <name val="Aptos Narrow"/>
      <family val="2"/>
      <scheme val="minor"/>
    </font>
    <font>
      <i/>
      <sz val="9"/>
      <color theme="2" tint="-0.749992370372631"/>
      <name val="Courier New"/>
      <family val="1"/>
    </font>
    <font>
      <i/>
      <sz val="9"/>
      <color theme="2" tint="-0.74999237037263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3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6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vertical="center"/>
    </xf>
    <xf numFmtId="6" fontId="7" fillId="3" borderId="0" xfId="0" applyNumberFormat="1" applyFont="1" applyFill="1" applyAlignment="1">
      <alignment vertical="center"/>
    </xf>
    <xf numFmtId="168" fontId="7" fillId="3" borderId="0" xfId="0" applyNumberFormat="1" applyFont="1" applyFill="1" applyAlignment="1">
      <alignment vertical="center"/>
    </xf>
    <xf numFmtId="168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6" fontId="0" fillId="0" borderId="0" xfId="0" applyNumberFormat="1" applyAlignment="1">
      <alignment horizontal="right" vertical="center"/>
    </xf>
    <xf numFmtId="0" fontId="6" fillId="2" borderId="0" xfId="0" applyFont="1" applyFill="1" applyAlignment="1">
      <alignment horizontal="left"/>
    </xf>
    <xf numFmtId="170" fontId="0" fillId="0" borderId="0" xfId="0" applyNumberFormat="1"/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276221"/>
      </font>
      <fill>
        <patternFill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170" formatCode="&quot;$&quot;#,##0"/>
    </dxf>
    <dxf>
      <numFmt numFmtId="170" formatCode="&quot;$&quot;#,##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3" formatCode="0%"/>
      <fill>
        <patternFill patternType="solid">
          <fgColor indexed="64"/>
          <bgColor theme="3" tint="0.89999084444715716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9EAD3"/>
      <color rgb="FF276221"/>
      <color rgb="FFFFC7CE"/>
      <color rgb="FF9C0006"/>
      <color rgb="FF4A86C8"/>
      <color rgb="FF2E5FA3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MRR by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56525235092812"/>
          <c:y val="0.13248695652173917"/>
          <c:w val="0.78549945578097879"/>
          <c:h val="0.79057993837726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Breakdown'!$D$2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A86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2-234D-BA06-B33048EBFF1A}"/>
              </c:ext>
            </c:extLst>
          </c:dPt>
          <c:dPt>
            <c:idx val="1"/>
            <c:invertIfNegative val="0"/>
            <c:bubble3D val="0"/>
            <c:spPr>
              <a:solidFill>
                <a:srgbClr val="2E5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F2-234D-BA06-B33048EBFF1A}"/>
              </c:ext>
            </c:extLst>
          </c:dPt>
          <c:dPt>
            <c:idx val="2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2-234D-BA06-B33048EBFF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Breakdown'!$A$3:$A$5</c:f>
              <c:strCache>
                <c:ptCount val="3"/>
                <c:pt idx="0">
                  <c:v>Enterprise</c:v>
                </c:pt>
                <c:pt idx="1">
                  <c:v>Professional</c:v>
                </c:pt>
                <c:pt idx="2">
                  <c:v>Basic</c:v>
                </c:pt>
              </c:strCache>
            </c:strRef>
          </c:cat>
          <c:val>
            <c:numRef>
              <c:f>'Revenue Breakdown'!$D$3:$D$5</c:f>
              <c:numCache>
                <c:formatCode>"$"#,##0_);[Red]\("$"#,##0\)</c:formatCode>
                <c:ptCount val="3"/>
                <c:pt idx="0">
                  <c:v>37500</c:v>
                </c:pt>
                <c:pt idx="1">
                  <c:v>3900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2-234D-BA06-B33048EB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955615"/>
        <c:axId val="101650911"/>
      </c:barChart>
      <c:catAx>
        <c:axId val="39595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0911"/>
        <c:crosses val="autoZero"/>
        <c:auto val="1"/>
        <c:lblAlgn val="ctr"/>
        <c:lblOffset val="100"/>
        <c:noMultiLvlLbl val="0"/>
      </c:catAx>
      <c:valAx>
        <c:axId val="10165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Rate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Breakdown'!$M$2</c:f>
              <c:strCache>
                <c:ptCount val="1"/>
                <c:pt idx="0">
                  <c:v>churn rate%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0-6740-9A3F-CD9E3E12C8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Breakdown'!$I$3:$I$5</c:f>
              <c:strCache>
                <c:ptCount val="3"/>
                <c:pt idx="0">
                  <c:v>SMB</c:v>
                </c:pt>
                <c:pt idx="1">
                  <c:v>Mid-Market</c:v>
                </c:pt>
                <c:pt idx="2">
                  <c:v>Enterprise</c:v>
                </c:pt>
              </c:strCache>
            </c:strRef>
          </c:cat>
          <c:val>
            <c:numRef>
              <c:f>'Revenue Breakdown'!$M$3:$M$5</c:f>
              <c:numCache>
                <c:formatCode>0.0%</c:formatCode>
                <c:ptCount val="3"/>
                <c:pt idx="0">
                  <c:v>0.66666666666666663</c:v>
                </c:pt>
                <c:pt idx="1">
                  <c:v>0.5714285714285714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6740-9A3F-CD9E3E12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6</xdr:row>
      <xdr:rowOff>6350</xdr:rowOff>
    </xdr:from>
    <xdr:to>
      <xdr:col>7</xdr:col>
      <xdr:colOff>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CFBA3-2AE5-BA37-5B4F-C69094AE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6</xdr:row>
      <xdr:rowOff>19050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2D156-2BC3-F4B0-A82E-4655ED1CC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urn_scored" connectionId="1" xr16:uid="{D61A4DB4-6FBA-414F-825F-741AFE6A95FF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A4321-C7EC-B248-9EA7-B3BC8905D7AE}" name="Table1" displayName="Table1" ref="A6:B17" totalsRowShown="0" headerRowDxfId="8" dataDxfId="5">
  <autoFilter ref="A6:B17" xr:uid="{6FFA4321-C7EC-B248-9EA7-B3BC8905D7AE}"/>
  <tableColumns count="2">
    <tableColumn id="1" xr3:uid="{0E6DE1D5-6AD6-3044-A578-8EAA687962A1}" name="metric" dataDxfId="7"/>
    <tableColumn id="2" xr3:uid="{B735B794-095D-B44F-A0BB-6EEC3050772A}" name="value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F4E317-3A7F-2042-899D-21A09E83F63F}" name="Table2" displayName="Table2" ref="A1:G21" totalsRowShown="0" headerRowDxfId="2">
  <autoFilter ref="A1:G21" xr:uid="{36F4E317-3A7F-2042-899D-21A09E83F63F}"/>
  <sortState xmlns:xlrd2="http://schemas.microsoft.com/office/spreadsheetml/2017/richdata2" ref="A2:G21">
    <sortCondition ref="G2:G21"/>
    <sortCondition descending="1" ref="C2:C21"/>
  </sortState>
  <tableColumns count="7">
    <tableColumn id="1" xr3:uid="{16A8D877-4111-D643-8C56-A3952440CFBA}" name="full_name"/>
    <tableColumn id="2" xr3:uid="{48E3DA3A-D12F-BB4C-8EF3-0CCCEF46D232}" name="segment"/>
    <tableColumn id="4" xr3:uid="{B3BC4885-AA32-6443-B11A-88D05C09AFE6}" name="monthly_revenue" dataDxfId="4"/>
    <tableColumn id="5" xr3:uid="{58078A01-6EBB-F64B-8C8E-DB17FC02427E}" name="annual_revenue_at_risk" dataDxfId="3">
      <calculatedColumnFormula>12 * C2</calculatedColumnFormula>
    </tableColumn>
    <tableColumn id="6" xr3:uid="{8B9CE091-39EB-BE46-A4D2-BC7EC40E4A8C}" name="avg_usage_score"/>
    <tableColumn id="7" xr3:uid="{FAA285A7-FE22-E44B-B774-EFDEE0120955}" name="churn_probability"/>
    <tableColumn id="8" xr3:uid="{D20F6250-A36B-3247-9153-E4955AB1498A}" name="model_risk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EA94-EC7F-2948-841D-E0A8CD5B05BA}">
  <dimension ref="A1:T141"/>
  <sheetViews>
    <sheetView tabSelected="1" zoomScaleNormal="100" workbookViewId="0">
      <selection activeCell="C17" sqref="C17"/>
    </sheetView>
  </sheetViews>
  <sheetFormatPr baseColWidth="10" defaultRowHeight="16" x14ac:dyDescent="0.2"/>
  <cols>
    <col min="1" max="1" width="27.1640625" bestFit="1" customWidth="1"/>
    <col min="2" max="2" width="13.33203125" customWidth="1"/>
    <col min="3" max="4" width="11.83203125" customWidth="1"/>
    <col min="5" max="16" width="13.33203125" customWidth="1"/>
    <col min="17" max="17" width="14.1640625" bestFit="1" customWidth="1"/>
    <col min="18" max="18" width="8.6640625" bestFit="1" customWidth="1"/>
    <col min="19" max="19" width="15.33203125" bestFit="1" customWidth="1"/>
    <col min="20" max="20" width="14.6640625" bestFit="1" customWidth="1"/>
  </cols>
  <sheetData>
    <row r="1" spans="1:16" ht="35" customHeight="1" x14ac:dyDescent="0.2">
      <c r="A1" s="2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7" thickBot="1" x14ac:dyDescent="0.25"/>
    <row r="3" spans="1:16" ht="30" thickTop="1" x14ac:dyDescent="0.2">
      <c r="A3" s="5">
        <v>12</v>
      </c>
      <c r="B3" s="6"/>
      <c r="C3" s="6"/>
      <c r="D3" s="7"/>
      <c r="E3" s="11">
        <v>46705</v>
      </c>
      <c r="F3" s="6"/>
      <c r="G3" s="6"/>
      <c r="H3" s="7"/>
      <c r="I3" s="5">
        <v>8</v>
      </c>
      <c r="J3" s="6"/>
      <c r="K3" s="6"/>
      <c r="L3" s="7"/>
      <c r="M3" s="12">
        <v>0.4</v>
      </c>
      <c r="N3" s="6"/>
      <c r="O3" s="6"/>
      <c r="P3" s="7"/>
    </row>
    <row r="4" spans="1:16" ht="17" thickBot="1" x14ac:dyDescent="0.25">
      <c r="A4" s="8" t="s">
        <v>80</v>
      </c>
      <c r="B4" s="9"/>
      <c r="C4" s="9"/>
      <c r="D4" s="10"/>
      <c r="E4" s="8" t="s">
        <v>77</v>
      </c>
      <c r="F4" s="9"/>
      <c r="G4" s="9"/>
      <c r="H4" s="10"/>
      <c r="I4" s="8" t="s">
        <v>78</v>
      </c>
      <c r="J4" s="9"/>
      <c r="K4" s="9"/>
      <c r="L4" s="10"/>
      <c r="M4" s="8" t="s">
        <v>79</v>
      </c>
      <c r="N4" s="9"/>
      <c r="O4" s="9"/>
      <c r="P4" s="10"/>
    </row>
    <row r="5" spans="1:16" ht="17" thickTop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">
      <c r="A6" s="15" t="s">
        <v>92</v>
      </c>
      <c r="B6" s="15" t="s">
        <v>93</v>
      </c>
    </row>
    <row r="7" spans="1:16" x14ac:dyDescent="0.2">
      <c r="A7" s="16" t="s">
        <v>81</v>
      </c>
      <c r="B7" s="17">
        <v>20</v>
      </c>
    </row>
    <row r="8" spans="1:16" x14ac:dyDescent="0.2">
      <c r="A8" s="16" t="s">
        <v>80</v>
      </c>
      <c r="B8" s="17">
        <v>12</v>
      </c>
    </row>
    <row r="9" spans="1:16" x14ac:dyDescent="0.2">
      <c r="A9" s="16" t="s">
        <v>82</v>
      </c>
      <c r="B9" s="17">
        <v>8</v>
      </c>
    </row>
    <row r="10" spans="1:16" x14ac:dyDescent="0.2">
      <c r="A10" s="16" t="s">
        <v>79</v>
      </c>
      <c r="B10" s="19">
        <v>0.4</v>
      </c>
    </row>
    <row r="11" spans="1:16" x14ac:dyDescent="0.2">
      <c r="A11" s="16" t="s">
        <v>83</v>
      </c>
      <c r="B11" s="18">
        <v>46705</v>
      </c>
    </row>
    <row r="12" spans="1:16" x14ac:dyDescent="0.2">
      <c r="A12" s="16" t="s">
        <v>84</v>
      </c>
      <c r="B12" s="18">
        <f>12 * B11</f>
        <v>560460</v>
      </c>
    </row>
    <row r="13" spans="1:16" x14ac:dyDescent="0.2">
      <c r="A13" s="16" t="s">
        <v>85</v>
      </c>
      <c r="B13" s="18">
        <v>4855</v>
      </c>
    </row>
    <row r="14" spans="1:16" x14ac:dyDescent="0.2">
      <c r="A14" s="16" t="s">
        <v>89</v>
      </c>
      <c r="B14" s="19">
        <v>0</v>
      </c>
    </row>
    <row r="15" spans="1:16" x14ac:dyDescent="0.2">
      <c r="A15" s="16" t="s">
        <v>86</v>
      </c>
      <c r="B15" s="19">
        <v>0.57099999999999995</v>
      </c>
    </row>
    <row r="16" spans="1:16" x14ac:dyDescent="0.2">
      <c r="A16" s="16" t="s">
        <v>87</v>
      </c>
      <c r="B16" s="19">
        <v>0.66700000000000004</v>
      </c>
    </row>
    <row r="17" spans="1:8" x14ac:dyDescent="0.2">
      <c r="A17" s="16" t="s">
        <v>88</v>
      </c>
      <c r="B17" s="19">
        <v>3.6700000000000003E-2</v>
      </c>
    </row>
    <row r="19" spans="1:8" x14ac:dyDescent="0.2">
      <c r="A19" s="22" t="s">
        <v>90</v>
      </c>
      <c r="B19" s="23"/>
      <c r="C19" s="23"/>
      <c r="D19" s="23"/>
      <c r="E19" s="23"/>
      <c r="F19" s="23"/>
      <c r="G19" s="23"/>
      <c r="H19" s="23"/>
    </row>
    <row r="20" spans="1:8" s="21" customFormat="1" ht="13" x14ac:dyDescent="0.2"/>
    <row r="120" spans="1:20" s="1" customFormat="1" x14ac:dyDescent="0.2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 t="s">
        <v>17</v>
      </c>
      <c r="S120" s="1" t="s">
        <v>18</v>
      </c>
      <c r="T120" s="1" t="s">
        <v>19</v>
      </c>
    </row>
    <row r="121" spans="1:20" x14ac:dyDescent="0.2">
      <c r="A121">
        <v>1020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>
        <v>175</v>
      </c>
      <c r="I121" t="s">
        <v>26</v>
      </c>
      <c r="J121" t="s">
        <v>27</v>
      </c>
      <c r="K121">
        <v>1</v>
      </c>
      <c r="L121">
        <v>5.6740000000000004</v>
      </c>
      <c r="M121">
        <v>10.199999999999999</v>
      </c>
      <c r="N121">
        <v>3.3</v>
      </c>
      <c r="O121">
        <v>1.7</v>
      </c>
      <c r="P121">
        <v>3</v>
      </c>
      <c r="Q121">
        <v>1.5</v>
      </c>
      <c r="R121" t="s">
        <v>28</v>
      </c>
      <c r="S121">
        <v>0.93899999999999995</v>
      </c>
      <c r="T121" t="s">
        <v>29</v>
      </c>
    </row>
    <row r="122" spans="1:20" x14ac:dyDescent="0.2">
      <c r="A122">
        <v>1013</v>
      </c>
      <c r="B122" t="s">
        <v>30</v>
      </c>
      <c r="C122" t="s">
        <v>21</v>
      </c>
      <c r="D122" t="s">
        <v>31</v>
      </c>
      <c r="E122" t="s">
        <v>32</v>
      </c>
      <c r="F122" t="s">
        <v>33</v>
      </c>
      <c r="G122" t="s">
        <v>25</v>
      </c>
      <c r="H122">
        <v>150</v>
      </c>
      <c r="I122" t="s">
        <v>26</v>
      </c>
      <c r="J122" t="s">
        <v>27</v>
      </c>
      <c r="K122">
        <v>1</v>
      </c>
      <c r="L122">
        <v>6.7835999999999999</v>
      </c>
      <c r="M122">
        <v>11.5</v>
      </c>
      <c r="N122">
        <v>4</v>
      </c>
      <c r="O122">
        <v>2</v>
      </c>
      <c r="P122">
        <v>3</v>
      </c>
      <c r="Q122">
        <v>1.5</v>
      </c>
      <c r="R122" t="s">
        <v>28</v>
      </c>
      <c r="S122">
        <v>0.95799999999999996</v>
      </c>
      <c r="T122" t="s">
        <v>29</v>
      </c>
    </row>
    <row r="123" spans="1:20" x14ac:dyDescent="0.2">
      <c r="A123">
        <v>1018</v>
      </c>
      <c r="B123" t="s">
        <v>34</v>
      </c>
      <c r="C123" t="s">
        <v>35</v>
      </c>
      <c r="D123" t="s">
        <v>36</v>
      </c>
      <c r="E123" t="s">
        <v>37</v>
      </c>
      <c r="F123" t="s">
        <v>38</v>
      </c>
      <c r="G123" t="s">
        <v>39</v>
      </c>
      <c r="H123">
        <v>1050</v>
      </c>
      <c r="I123" t="s">
        <v>26</v>
      </c>
      <c r="J123" t="s">
        <v>27</v>
      </c>
      <c r="K123">
        <v>1</v>
      </c>
      <c r="L123">
        <v>7.0739999999999998</v>
      </c>
      <c r="M123">
        <v>12.2</v>
      </c>
      <c r="N123">
        <v>4.3</v>
      </c>
      <c r="O123">
        <v>2</v>
      </c>
      <c r="P123">
        <v>6</v>
      </c>
      <c r="Q123">
        <v>1.5</v>
      </c>
      <c r="R123" t="s">
        <v>28</v>
      </c>
      <c r="S123">
        <v>0.98299999999999998</v>
      </c>
      <c r="T123" t="s">
        <v>29</v>
      </c>
    </row>
    <row r="124" spans="1:20" x14ac:dyDescent="0.2">
      <c r="A124">
        <v>1007</v>
      </c>
      <c r="B124" t="s">
        <v>40</v>
      </c>
      <c r="C124" t="s">
        <v>21</v>
      </c>
      <c r="D124" t="s">
        <v>41</v>
      </c>
      <c r="E124" t="s">
        <v>42</v>
      </c>
      <c r="F124" t="s">
        <v>33</v>
      </c>
      <c r="G124" t="s">
        <v>25</v>
      </c>
      <c r="H124">
        <v>180</v>
      </c>
      <c r="I124" t="s">
        <v>26</v>
      </c>
      <c r="J124" t="s">
        <v>27</v>
      </c>
      <c r="K124">
        <v>1</v>
      </c>
      <c r="L124">
        <v>4.726</v>
      </c>
      <c r="M124">
        <v>12.8</v>
      </c>
      <c r="N124">
        <v>5</v>
      </c>
      <c r="O124">
        <v>2</v>
      </c>
      <c r="P124">
        <v>3</v>
      </c>
      <c r="Q124">
        <v>2</v>
      </c>
      <c r="R124" t="s">
        <v>28</v>
      </c>
      <c r="S124">
        <v>0.877</v>
      </c>
      <c r="T124" t="s">
        <v>29</v>
      </c>
    </row>
    <row r="125" spans="1:20" x14ac:dyDescent="0.2">
      <c r="A125">
        <v>1010</v>
      </c>
      <c r="B125" t="s">
        <v>43</v>
      </c>
      <c r="C125" t="s">
        <v>21</v>
      </c>
      <c r="D125" t="s">
        <v>36</v>
      </c>
      <c r="E125" t="s">
        <v>44</v>
      </c>
      <c r="F125" t="s">
        <v>33</v>
      </c>
      <c r="G125" t="s">
        <v>25</v>
      </c>
      <c r="H125">
        <v>220</v>
      </c>
      <c r="I125" t="s">
        <v>26</v>
      </c>
      <c r="J125" t="s">
        <v>27</v>
      </c>
      <c r="K125">
        <v>1</v>
      </c>
      <c r="L125">
        <v>5.4821999999999997</v>
      </c>
      <c r="M125">
        <v>14</v>
      </c>
      <c r="N125">
        <v>5.3</v>
      </c>
      <c r="O125">
        <v>2</v>
      </c>
      <c r="P125">
        <v>3</v>
      </c>
      <c r="Q125">
        <v>1.5</v>
      </c>
      <c r="R125" t="s">
        <v>28</v>
      </c>
      <c r="S125">
        <v>0.92400000000000004</v>
      </c>
      <c r="T125" t="s">
        <v>29</v>
      </c>
    </row>
    <row r="126" spans="1:20" x14ac:dyDescent="0.2">
      <c r="A126">
        <v>1016</v>
      </c>
      <c r="B126" t="s">
        <v>45</v>
      </c>
      <c r="C126" t="s">
        <v>35</v>
      </c>
      <c r="D126" t="s">
        <v>22</v>
      </c>
      <c r="E126" t="s">
        <v>46</v>
      </c>
      <c r="F126" t="s">
        <v>33</v>
      </c>
      <c r="G126" t="s">
        <v>39</v>
      </c>
      <c r="H126">
        <v>900</v>
      </c>
      <c r="I126" t="s">
        <v>26</v>
      </c>
      <c r="J126" t="s">
        <v>27</v>
      </c>
      <c r="K126">
        <v>1</v>
      </c>
      <c r="L126">
        <v>4.4985999999999997</v>
      </c>
      <c r="M126">
        <v>15.2</v>
      </c>
      <c r="N126">
        <v>6.3</v>
      </c>
      <c r="O126">
        <v>2.2999999999999998</v>
      </c>
      <c r="P126">
        <v>6</v>
      </c>
      <c r="Q126">
        <v>1.33</v>
      </c>
      <c r="R126" t="s">
        <v>28</v>
      </c>
      <c r="S126">
        <v>0.95</v>
      </c>
      <c r="T126" t="s">
        <v>29</v>
      </c>
    </row>
    <row r="127" spans="1:20" x14ac:dyDescent="0.2">
      <c r="A127">
        <v>1004</v>
      </c>
      <c r="B127" t="s">
        <v>47</v>
      </c>
      <c r="C127" t="s">
        <v>35</v>
      </c>
      <c r="D127" t="s">
        <v>31</v>
      </c>
      <c r="E127" t="s">
        <v>48</v>
      </c>
      <c r="F127" t="s">
        <v>38</v>
      </c>
      <c r="G127" t="s">
        <v>39</v>
      </c>
      <c r="H127">
        <v>980</v>
      </c>
      <c r="I127" t="s">
        <v>26</v>
      </c>
      <c r="J127" t="s">
        <v>27</v>
      </c>
      <c r="K127">
        <v>1</v>
      </c>
      <c r="L127">
        <v>6.5561999999999996</v>
      </c>
      <c r="M127">
        <v>15.7</v>
      </c>
      <c r="N127">
        <v>6.3</v>
      </c>
      <c r="O127">
        <v>2.2999999999999998</v>
      </c>
      <c r="P127">
        <v>6</v>
      </c>
      <c r="Q127">
        <v>1.67</v>
      </c>
      <c r="R127" t="s">
        <v>28</v>
      </c>
      <c r="S127">
        <v>0.97299999999999998</v>
      </c>
      <c r="T127" t="s">
        <v>29</v>
      </c>
    </row>
    <row r="128" spans="1:20" x14ac:dyDescent="0.2">
      <c r="A128">
        <v>1002</v>
      </c>
      <c r="B128" t="s">
        <v>49</v>
      </c>
      <c r="C128" t="s">
        <v>35</v>
      </c>
      <c r="D128" t="s">
        <v>36</v>
      </c>
      <c r="E128" t="s">
        <v>50</v>
      </c>
      <c r="F128" t="s">
        <v>24</v>
      </c>
      <c r="G128" t="s">
        <v>39</v>
      </c>
      <c r="H128">
        <v>1200</v>
      </c>
      <c r="I128" t="s">
        <v>26</v>
      </c>
      <c r="J128" t="s">
        <v>27</v>
      </c>
      <c r="K128">
        <v>1</v>
      </c>
      <c r="L128">
        <v>5.7644000000000002</v>
      </c>
      <c r="M128">
        <v>18.8</v>
      </c>
      <c r="N128">
        <v>8</v>
      </c>
      <c r="O128">
        <v>3</v>
      </c>
      <c r="P128">
        <v>6</v>
      </c>
      <c r="Q128">
        <v>1.67</v>
      </c>
      <c r="R128" t="s">
        <v>28</v>
      </c>
      <c r="S128">
        <v>0.95599999999999996</v>
      </c>
      <c r="T128" t="s">
        <v>29</v>
      </c>
    </row>
    <row r="129" spans="1:20" x14ac:dyDescent="0.2">
      <c r="A129">
        <v>1017</v>
      </c>
      <c r="B129" t="s">
        <v>51</v>
      </c>
      <c r="C129" t="s">
        <v>21</v>
      </c>
      <c r="D129" t="s">
        <v>31</v>
      </c>
      <c r="E129" t="s">
        <v>48</v>
      </c>
      <c r="F129" t="s">
        <v>24</v>
      </c>
      <c r="G129" t="s">
        <v>25</v>
      </c>
      <c r="H129">
        <v>200</v>
      </c>
      <c r="I129" t="s">
        <v>26</v>
      </c>
      <c r="J129" t="s">
        <v>52</v>
      </c>
      <c r="K129">
        <v>0</v>
      </c>
      <c r="L129">
        <v>3.3780999999999999</v>
      </c>
      <c r="M129">
        <v>47.2</v>
      </c>
      <c r="N129">
        <v>17</v>
      </c>
      <c r="O129">
        <v>5.7</v>
      </c>
      <c r="P129">
        <v>0</v>
      </c>
      <c r="Q129">
        <v>4</v>
      </c>
      <c r="R129" t="s">
        <v>53</v>
      </c>
      <c r="S129">
        <v>0.127</v>
      </c>
      <c r="T129" t="s">
        <v>54</v>
      </c>
    </row>
    <row r="130" spans="1:20" x14ac:dyDescent="0.2">
      <c r="A130">
        <v>1005</v>
      </c>
      <c r="B130" t="s">
        <v>55</v>
      </c>
      <c r="C130" t="s">
        <v>21</v>
      </c>
      <c r="D130" t="s">
        <v>22</v>
      </c>
      <c r="E130" t="s">
        <v>56</v>
      </c>
      <c r="F130" t="s">
        <v>24</v>
      </c>
      <c r="G130" t="s">
        <v>25</v>
      </c>
      <c r="H130">
        <v>250</v>
      </c>
      <c r="I130" t="s">
        <v>26</v>
      </c>
      <c r="J130" t="s">
        <v>52</v>
      </c>
      <c r="K130">
        <v>0</v>
      </c>
      <c r="L130">
        <v>3.2383999999999999</v>
      </c>
      <c r="M130">
        <v>54.8</v>
      </c>
      <c r="N130">
        <v>20</v>
      </c>
      <c r="O130">
        <v>6.7</v>
      </c>
      <c r="P130">
        <v>0</v>
      </c>
      <c r="Q130">
        <v>4</v>
      </c>
      <c r="R130" t="s">
        <v>53</v>
      </c>
      <c r="S130">
        <v>8.8999999999999996E-2</v>
      </c>
      <c r="T130" t="s">
        <v>54</v>
      </c>
    </row>
    <row r="131" spans="1:20" x14ac:dyDescent="0.2">
      <c r="A131">
        <v>1014</v>
      </c>
      <c r="B131" t="s">
        <v>57</v>
      </c>
      <c r="C131" t="s">
        <v>35</v>
      </c>
      <c r="D131" t="s">
        <v>36</v>
      </c>
      <c r="E131" t="s">
        <v>58</v>
      </c>
      <c r="F131" t="s">
        <v>24</v>
      </c>
      <c r="G131" t="s">
        <v>39</v>
      </c>
      <c r="H131">
        <v>1350</v>
      </c>
      <c r="I131" t="s">
        <v>26</v>
      </c>
      <c r="J131" t="s">
        <v>52</v>
      </c>
      <c r="K131">
        <v>0</v>
      </c>
      <c r="L131">
        <v>3.5699000000000001</v>
      </c>
      <c r="M131">
        <v>65.2</v>
      </c>
      <c r="N131">
        <v>27</v>
      </c>
      <c r="O131">
        <v>8.3000000000000007</v>
      </c>
      <c r="P131">
        <v>0</v>
      </c>
      <c r="Q131">
        <v>4</v>
      </c>
      <c r="R131" t="s">
        <v>59</v>
      </c>
      <c r="S131">
        <v>5.5E-2</v>
      </c>
      <c r="T131" t="s">
        <v>54</v>
      </c>
    </row>
    <row r="132" spans="1:20" x14ac:dyDescent="0.2">
      <c r="A132">
        <v>1011</v>
      </c>
      <c r="B132" t="s">
        <v>60</v>
      </c>
      <c r="C132" t="s">
        <v>35</v>
      </c>
      <c r="D132" t="s">
        <v>41</v>
      </c>
      <c r="E132" t="s">
        <v>23</v>
      </c>
      <c r="F132" t="s">
        <v>24</v>
      </c>
      <c r="G132" t="s">
        <v>39</v>
      </c>
      <c r="H132">
        <v>1100</v>
      </c>
      <c r="I132" t="s">
        <v>61</v>
      </c>
      <c r="J132" t="s">
        <v>52</v>
      </c>
      <c r="K132">
        <v>0</v>
      </c>
      <c r="L132">
        <v>5.1288</v>
      </c>
      <c r="M132">
        <v>70.2</v>
      </c>
      <c r="N132">
        <v>30</v>
      </c>
      <c r="O132">
        <v>8.6999999999999993</v>
      </c>
      <c r="P132">
        <v>0</v>
      </c>
      <c r="Q132">
        <v>5</v>
      </c>
      <c r="R132" t="s">
        <v>59</v>
      </c>
      <c r="S132">
        <v>5.0999999999999997E-2</v>
      </c>
      <c r="T132" t="s">
        <v>54</v>
      </c>
    </row>
    <row r="133" spans="1:20" x14ac:dyDescent="0.2">
      <c r="A133">
        <v>1009</v>
      </c>
      <c r="B133" t="s">
        <v>62</v>
      </c>
      <c r="C133" t="s">
        <v>35</v>
      </c>
      <c r="D133" t="s">
        <v>31</v>
      </c>
      <c r="E133" t="s">
        <v>63</v>
      </c>
      <c r="F133" t="s">
        <v>38</v>
      </c>
      <c r="G133" t="s">
        <v>39</v>
      </c>
      <c r="H133">
        <v>1450</v>
      </c>
      <c r="I133" t="s">
        <v>26</v>
      </c>
      <c r="J133" t="s">
        <v>52</v>
      </c>
      <c r="K133">
        <v>0</v>
      </c>
      <c r="L133">
        <v>3.8548</v>
      </c>
      <c r="M133">
        <v>75.2</v>
      </c>
      <c r="N133">
        <v>35.299999999999997</v>
      </c>
      <c r="O133">
        <v>10</v>
      </c>
      <c r="P133">
        <v>0</v>
      </c>
      <c r="Q133">
        <v>4</v>
      </c>
      <c r="R133" t="s">
        <v>59</v>
      </c>
      <c r="S133">
        <v>3.5000000000000003E-2</v>
      </c>
      <c r="T133" t="s">
        <v>54</v>
      </c>
    </row>
    <row r="134" spans="1:20" x14ac:dyDescent="0.2">
      <c r="A134">
        <v>1012</v>
      </c>
      <c r="B134" t="s">
        <v>64</v>
      </c>
      <c r="C134" t="s">
        <v>65</v>
      </c>
      <c r="D134" t="s">
        <v>22</v>
      </c>
      <c r="E134" t="s">
        <v>66</v>
      </c>
      <c r="F134" t="s">
        <v>38</v>
      </c>
      <c r="G134" t="s">
        <v>65</v>
      </c>
      <c r="H134">
        <v>4800</v>
      </c>
      <c r="I134" t="s">
        <v>61</v>
      </c>
      <c r="J134" t="s">
        <v>52</v>
      </c>
      <c r="K134">
        <v>0</v>
      </c>
      <c r="L134">
        <v>3.0164</v>
      </c>
      <c r="M134">
        <v>82.2</v>
      </c>
      <c r="N134">
        <v>40</v>
      </c>
      <c r="O134">
        <v>11</v>
      </c>
      <c r="P134">
        <v>0</v>
      </c>
      <c r="Q134">
        <v>4</v>
      </c>
      <c r="R134" t="s">
        <v>59</v>
      </c>
      <c r="S134">
        <v>1.2999999999999999E-2</v>
      </c>
      <c r="T134" t="s">
        <v>54</v>
      </c>
    </row>
    <row r="135" spans="1:20" x14ac:dyDescent="0.2">
      <c r="A135">
        <v>1019</v>
      </c>
      <c r="B135" t="s">
        <v>67</v>
      </c>
      <c r="C135" t="s">
        <v>65</v>
      </c>
      <c r="D135" t="s">
        <v>41</v>
      </c>
      <c r="E135" t="s">
        <v>58</v>
      </c>
      <c r="F135" t="s">
        <v>33</v>
      </c>
      <c r="G135" t="s">
        <v>65</v>
      </c>
      <c r="H135">
        <v>4200</v>
      </c>
      <c r="I135" t="s">
        <v>61</v>
      </c>
      <c r="J135" t="s">
        <v>52</v>
      </c>
      <c r="K135">
        <v>0</v>
      </c>
      <c r="L135">
        <v>3.9533999999999998</v>
      </c>
      <c r="M135">
        <v>87</v>
      </c>
      <c r="N135">
        <v>44</v>
      </c>
      <c r="O135">
        <v>12</v>
      </c>
      <c r="P135">
        <v>0</v>
      </c>
      <c r="Q135">
        <v>5</v>
      </c>
      <c r="R135" t="s">
        <v>59</v>
      </c>
      <c r="S135">
        <v>8.9999999999999993E-3</v>
      </c>
      <c r="T135" t="s">
        <v>54</v>
      </c>
    </row>
    <row r="136" spans="1:20" x14ac:dyDescent="0.2">
      <c r="A136">
        <v>1001</v>
      </c>
      <c r="B136" t="s">
        <v>68</v>
      </c>
      <c r="C136" t="s">
        <v>65</v>
      </c>
      <c r="D136" t="s">
        <v>22</v>
      </c>
      <c r="E136" t="s">
        <v>58</v>
      </c>
      <c r="F136" t="s">
        <v>33</v>
      </c>
      <c r="G136" t="s">
        <v>65</v>
      </c>
      <c r="H136">
        <v>4500</v>
      </c>
      <c r="I136" t="s">
        <v>61</v>
      </c>
      <c r="J136" t="s">
        <v>52</v>
      </c>
      <c r="K136">
        <v>0</v>
      </c>
      <c r="L136">
        <v>5.1973000000000003</v>
      </c>
      <c r="M136">
        <v>88.2</v>
      </c>
      <c r="N136">
        <v>45</v>
      </c>
      <c r="O136">
        <v>12</v>
      </c>
      <c r="P136">
        <v>0</v>
      </c>
      <c r="Q136">
        <v>4.5</v>
      </c>
      <c r="R136" t="s">
        <v>59</v>
      </c>
      <c r="S136">
        <v>1.7000000000000001E-2</v>
      </c>
      <c r="T136" t="s">
        <v>54</v>
      </c>
    </row>
    <row r="137" spans="1:20" x14ac:dyDescent="0.2">
      <c r="A137">
        <v>1015</v>
      </c>
      <c r="B137" t="s">
        <v>69</v>
      </c>
      <c r="C137" t="s">
        <v>65</v>
      </c>
      <c r="D137" t="s">
        <v>41</v>
      </c>
      <c r="E137" t="s">
        <v>70</v>
      </c>
      <c r="F137" t="s">
        <v>38</v>
      </c>
      <c r="G137" t="s">
        <v>65</v>
      </c>
      <c r="H137">
        <v>5500</v>
      </c>
      <c r="I137" t="s">
        <v>61</v>
      </c>
      <c r="J137" t="s">
        <v>52</v>
      </c>
      <c r="K137">
        <v>0</v>
      </c>
      <c r="L137">
        <v>6.1917999999999997</v>
      </c>
      <c r="M137">
        <v>90.2</v>
      </c>
      <c r="N137">
        <v>48</v>
      </c>
      <c r="O137">
        <v>13</v>
      </c>
      <c r="P137">
        <v>0</v>
      </c>
      <c r="Q137">
        <v>5</v>
      </c>
      <c r="R137" t="s">
        <v>59</v>
      </c>
      <c r="S137">
        <v>1.4999999999999999E-2</v>
      </c>
      <c r="T137" t="s">
        <v>54</v>
      </c>
    </row>
    <row r="138" spans="1:20" x14ac:dyDescent="0.2">
      <c r="A138">
        <v>1003</v>
      </c>
      <c r="B138" t="s">
        <v>71</v>
      </c>
      <c r="C138" t="s">
        <v>65</v>
      </c>
      <c r="D138" t="s">
        <v>41</v>
      </c>
      <c r="E138" t="s">
        <v>70</v>
      </c>
      <c r="F138" t="s">
        <v>33</v>
      </c>
      <c r="G138" t="s">
        <v>65</v>
      </c>
      <c r="H138">
        <v>5200</v>
      </c>
      <c r="I138" t="s">
        <v>61</v>
      </c>
      <c r="J138" t="s">
        <v>52</v>
      </c>
      <c r="K138">
        <v>0</v>
      </c>
      <c r="L138">
        <v>4.3726000000000003</v>
      </c>
      <c r="M138">
        <v>93.8</v>
      </c>
      <c r="N138">
        <v>52</v>
      </c>
      <c r="O138">
        <v>14</v>
      </c>
      <c r="P138">
        <v>0</v>
      </c>
      <c r="Q138">
        <v>5</v>
      </c>
      <c r="R138" t="s">
        <v>59</v>
      </c>
      <c r="S138">
        <v>5.0000000000000001E-3</v>
      </c>
      <c r="T138" t="s">
        <v>54</v>
      </c>
    </row>
    <row r="139" spans="1:20" x14ac:dyDescent="0.2">
      <c r="A139">
        <v>1008</v>
      </c>
      <c r="B139" t="s">
        <v>72</v>
      </c>
      <c r="C139" t="s">
        <v>65</v>
      </c>
      <c r="D139" t="s">
        <v>22</v>
      </c>
      <c r="E139" t="s">
        <v>73</v>
      </c>
      <c r="F139" t="s">
        <v>24</v>
      </c>
      <c r="G139" t="s">
        <v>65</v>
      </c>
      <c r="H139">
        <v>7200</v>
      </c>
      <c r="I139" t="s">
        <v>61</v>
      </c>
      <c r="J139" t="s">
        <v>52</v>
      </c>
      <c r="K139">
        <v>0</v>
      </c>
      <c r="L139">
        <v>6.9287999999999998</v>
      </c>
      <c r="M139">
        <v>94.8</v>
      </c>
      <c r="N139">
        <v>55</v>
      </c>
      <c r="O139">
        <v>14.7</v>
      </c>
      <c r="P139">
        <v>0</v>
      </c>
      <c r="Q139">
        <v>4</v>
      </c>
      <c r="R139" t="s">
        <v>59</v>
      </c>
      <c r="S139">
        <v>1.7999999999999999E-2</v>
      </c>
      <c r="T139" t="s">
        <v>54</v>
      </c>
    </row>
    <row r="140" spans="1:20" x14ac:dyDescent="0.2">
      <c r="A140">
        <v>1006</v>
      </c>
      <c r="B140" t="s">
        <v>74</v>
      </c>
      <c r="C140" t="s">
        <v>65</v>
      </c>
      <c r="D140" t="s">
        <v>36</v>
      </c>
      <c r="E140" t="s">
        <v>75</v>
      </c>
      <c r="F140" t="s">
        <v>38</v>
      </c>
      <c r="G140" t="s">
        <v>65</v>
      </c>
      <c r="H140">
        <v>6100</v>
      </c>
      <c r="I140" t="s">
        <v>61</v>
      </c>
      <c r="J140" t="s">
        <v>52</v>
      </c>
      <c r="K140">
        <v>0</v>
      </c>
      <c r="L140">
        <v>6.0328999999999997</v>
      </c>
      <c r="M140">
        <v>96.8</v>
      </c>
      <c r="N140">
        <v>60</v>
      </c>
      <c r="O140">
        <v>15.7</v>
      </c>
      <c r="P140">
        <v>0</v>
      </c>
      <c r="Q140">
        <v>5</v>
      </c>
      <c r="R140" t="s">
        <v>59</v>
      </c>
      <c r="S140">
        <v>6.0000000000000001E-3</v>
      </c>
      <c r="T140" t="s">
        <v>54</v>
      </c>
    </row>
    <row r="141" spans="1:20" x14ac:dyDescent="0.2">
      <c r="S141" s="20">
        <f>AVERAGE(S121:S140)</f>
        <v>0.4</v>
      </c>
    </row>
  </sheetData>
  <mergeCells count="9">
    <mergeCell ref="I4:L4"/>
    <mergeCell ref="M3:P3"/>
    <mergeCell ref="M4:P4"/>
    <mergeCell ref="A1:P1"/>
    <mergeCell ref="A3:D3"/>
    <mergeCell ref="A4:D4"/>
    <mergeCell ref="E3:H3"/>
    <mergeCell ref="E4:H4"/>
    <mergeCell ref="I3:L3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0346-F535-8C4B-97FC-904DEA46F14A}">
  <dimension ref="A1:M5"/>
  <sheetViews>
    <sheetView workbookViewId="0">
      <selection activeCell="L33" sqref="L33"/>
    </sheetView>
  </sheetViews>
  <sheetFormatPr baseColWidth="10" defaultRowHeight="16" x14ac:dyDescent="0.2"/>
  <cols>
    <col min="2" max="2" width="12.5" bestFit="1" customWidth="1"/>
    <col min="9" max="9" width="10.83203125" customWidth="1"/>
  </cols>
  <sheetData>
    <row r="1" spans="1:13" x14ac:dyDescent="0.2">
      <c r="A1" s="25" t="s">
        <v>97</v>
      </c>
      <c r="B1" s="25"/>
      <c r="C1" s="25"/>
      <c r="D1" s="25"/>
      <c r="E1" s="25"/>
      <c r="I1" s="28" t="s">
        <v>98</v>
      </c>
      <c r="J1" s="28"/>
      <c r="K1" s="28"/>
      <c r="L1" s="28"/>
      <c r="M1" s="28"/>
    </row>
    <row r="2" spans="1:13" x14ac:dyDescent="0.2">
      <c r="A2" s="26" t="s">
        <v>6</v>
      </c>
      <c r="B2" s="26" t="s">
        <v>8</v>
      </c>
      <c r="C2" s="26" t="s">
        <v>91</v>
      </c>
      <c r="D2" s="26" t="s">
        <v>94</v>
      </c>
      <c r="E2" s="26" t="s">
        <v>95</v>
      </c>
      <c r="I2" s="15" t="s">
        <v>2</v>
      </c>
      <c r="J2" s="15" t="s">
        <v>99</v>
      </c>
      <c r="K2" s="15" t="s">
        <v>10</v>
      </c>
      <c r="L2" s="15" t="s">
        <v>100</v>
      </c>
      <c r="M2" s="15" t="s">
        <v>101</v>
      </c>
    </row>
    <row r="3" spans="1:13" x14ac:dyDescent="0.2">
      <c r="A3" s="14" t="s">
        <v>65</v>
      </c>
      <c r="B3" s="14" t="s">
        <v>61</v>
      </c>
      <c r="C3" s="14">
        <v>7</v>
      </c>
      <c r="D3" s="27">
        <v>37500</v>
      </c>
      <c r="E3" s="27">
        <f>12 * D3</f>
        <v>450000</v>
      </c>
      <c r="I3" t="s">
        <v>21</v>
      </c>
      <c r="J3">
        <v>6</v>
      </c>
      <c r="K3">
        <v>4</v>
      </c>
      <c r="L3">
        <v>2</v>
      </c>
      <c r="M3" s="20">
        <f>(K3/J3)</f>
        <v>0.66666666666666663</v>
      </c>
    </row>
    <row r="4" spans="1:13" x14ac:dyDescent="0.2">
      <c r="A4" s="14" t="s">
        <v>39</v>
      </c>
      <c r="B4" s="14" t="s">
        <v>96</v>
      </c>
      <c r="C4" s="14">
        <v>3</v>
      </c>
      <c r="D4" s="27">
        <v>3900</v>
      </c>
      <c r="E4" s="27">
        <f t="shared" ref="E4:E5" si="0">12 * D4</f>
        <v>46800</v>
      </c>
      <c r="I4" t="s">
        <v>35</v>
      </c>
      <c r="J4">
        <v>7</v>
      </c>
      <c r="K4">
        <v>4</v>
      </c>
      <c r="L4">
        <v>3</v>
      </c>
      <c r="M4" s="20">
        <f t="shared" ref="M4:M5" si="1">(K4/J4)</f>
        <v>0.5714285714285714</v>
      </c>
    </row>
    <row r="5" spans="1:13" x14ac:dyDescent="0.2">
      <c r="A5" s="14" t="s">
        <v>25</v>
      </c>
      <c r="B5" s="14" t="s">
        <v>26</v>
      </c>
      <c r="C5" s="14">
        <v>2</v>
      </c>
      <c r="D5" s="27">
        <v>450</v>
      </c>
      <c r="E5" s="27">
        <f t="shared" si="0"/>
        <v>5400</v>
      </c>
      <c r="I5" t="s">
        <v>65</v>
      </c>
      <c r="J5">
        <v>7</v>
      </c>
      <c r="K5">
        <v>0</v>
      </c>
      <c r="L5">
        <v>7</v>
      </c>
      <c r="M5" s="20">
        <f t="shared" si="1"/>
        <v>0</v>
      </c>
    </row>
  </sheetData>
  <mergeCells count="2">
    <mergeCell ref="A1:E1"/>
    <mergeCell ref="I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D79D-3210-4F45-84D9-EE0D63439EE2}">
  <dimension ref="A1:G21"/>
  <sheetViews>
    <sheetView workbookViewId="0">
      <selection activeCell="H19" sqref="H19"/>
    </sheetView>
  </sheetViews>
  <sheetFormatPr baseColWidth="10" defaultRowHeight="16" x14ac:dyDescent="0.2"/>
  <cols>
    <col min="1" max="1" width="19.5" bestFit="1" customWidth="1"/>
    <col min="2" max="2" width="13.5" bestFit="1" customWidth="1"/>
    <col min="3" max="3" width="20.1640625" bestFit="1" customWidth="1"/>
    <col min="4" max="5" width="25.6640625" bestFit="1" customWidth="1"/>
    <col min="6" max="7" width="20.33203125" bestFit="1" customWidth="1"/>
    <col min="8" max="8" width="20.1640625" bestFit="1" customWidth="1"/>
  </cols>
  <sheetData>
    <row r="1" spans="1:7" s="24" customFormat="1" x14ac:dyDescent="0.2">
      <c r="A1" s="24" t="s">
        <v>1</v>
      </c>
      <c r="B1" s="24" t="s">
        <v>2</v>
      </c>
      <c r="C1" s="24" t="s">
        <v>7</v>
      </c>
      <c r="D1" s="24" t="s">
        <v>102</v>
      </c>
      <c r="E1" s="24" t="s">
        <v>12</v>
      </c>
      <c r="F1" s="24" t="s">
        <v>18</v>
      </c>
      <c r="G1" s="24" t="s">
        <v>19</v>
      </c>
    </row>
    <row r="2" spans="1:7" x14ac:dyDescent="0.2">
      <c r="A2" t="s">
        <v>49</v>
      </c>
      <c r="B2" t="s">
        <v>35</v>
      </c>
      <c r="C2" s="29">
        <v>1200</v>
      </c>
      <c r="D2" s="29">
        <f>12 * C2</f>
        <v>14400</v>
      </c>
      <c r="E2">
        <v>18.8</v>
      </c>
      <c r="F2">
        <v>0.95599999999999996</v>
      </c>
      <c r="G2" t="s">
        <v>29</v>
      </c>
    </row>
    <row r="3" spans="1:7" x14ac:dyDescent="0.2">
      <c r="A3" t="s">
        <v>34</v>
      </c>
      <c r="B3" t="s">
        <v>35</v>
      </c>
      <c r="C3" s="29">
        <v>1050</v>
      </c>
      <c r="D3" s="29">
        <f>12 * C3</f>
        <v>12600</v>
      </c>
      <c r="E3">
        <v>12.2</v>
      </c>
      <c r="F3">
        <v>0.98299999999999998</v>
      </c>
      <c r="G3" t="s">
        <v>29</v>
      </c>
    </row>
    <row r="4" spans="1:7" x14ac:dyDescent="0.2">
      <c r="A4" t="s">
        <v>47</v>
      </c>
      <c r="B4" t="s">
        <v>35</v>
      </c>
      <c r="C4" s="29">
        <v>980</v>
      </c>
      <c r="D4" s="29">
        <f>12 * C4</f>
        <v>11760</v>
      </c>
      <c r="E4">
        <v>15.7</v>
      </c>
      <c r="F4">
        <v>0.97299999999999998</v>
      </c>
      <c r="G4" t="s">
        <v>29</v>
      </c>
    </row>
    <row r="5" spans="1:7" x14ac:dyDescent="0.2">
      <c r="A5" t="s">
        <v>45</v>
      </c>
      <c r="B5" t="s">
        <v>35</v>
      </c>
      <c r="C5" s="29">
        <v>900</v>
      </c>
      <c r="D5" s="29">
        <f>12 * C5</f>
        <v>10800</v>
      </c>
      <c r="E5">
        <v>15.2</v>
      </c>
      <c r="F5">
        <v>0.95</v>
      </c>
      <c r="G5" t="s">
        <v>29</v>
      </c>
    </row>
    <row r="6" spans="1:7" x14ac:dyDescent="0.2">
      <c r="A6" t="s">
        <v>43</v>
      </c>
      <c r="B6" t="s">
        <v>21</v>
      </c>
      <c r="C6" s="29">
        <v>220</v>
      </c>
      <c r="D6" s="29">
        <f>12 * C6</f>
        <v>2640</v>
      </c>
      <c r="E6">
        <v>14</v>
      </c>
      <c r="F6">
        <v>0.92400000000000004</v>
      </c>
      <c r="G6" t="s">
        <v>29</v>
      </c>
    </row>
    <row r="7" spans="1:7" x14ac:dyDescent="0.2">
      <c r="A7" t="s">
        <v>40</v>
      </c>
      <c r="B7" t="s">
        <v>21</v>
      </c>
      <c r="C7" s="29">
        <v>180</v>
      </c>
      <c r="D7" s="29">
        <f>12 * C7</f>
        <v>2160</v>
      </c>
      <c r="E7">
        <v>12.8</v>
      </c>
      <c r="F7">
        <v>0.877</v>
      </c>
      <c r="G7" t="s">
        <v>29</v>
      </c>
    </row>
    <row r="8" spans="1:7" x14ac:dyDescent="0.2">
      <c r="A8" t="s">
        <v>20</v>
      </c>
      <c r="B8" t="s">
        <v>21</v>
      </c>
      <c r="C8" s="29">
        <v>175</v>
      </c>
      <c r="D8" s="29">
        <f>12 * C8</f>
        <v>2100</v>
      </c>
      <c r="E8">
        <v>10.199999999999999</v>
      </c>
      <c r="F8">
        <v>0.93899999999999995</v>
      </c>
      <c r="G8" t="s">
        <v>29</v>
      </c>
    </row>
    <row r="9" spans="1:7" x14ac:dyDescent="0.2">
      <c r="A9" t="s">
        <v>30</v>
      </c>
      <c r="B9" t="s">
        <v>21</v>
      </c>
      <c r="C9" s="29">
        <v>150</v>
      </c>
      <c r="D9" s="29">
        <f>12 * C9</f>
        <v>1800</v>
      </c>
      <c r="E9">
        <v>11.5</v>
      </c>
      <c r="F9">
        <v>0.95799999999999996</v>
      </c>
      <c r="G9" t="s">
        <v>29</v>
      </c>
    </row>
    <row r="10" spans="1:7" x14ac:dyDescent="0.2">
      <c r="A10" t="s">
        <v>72</v>
      </c>
      <c r="B10" t="s">
        <v>65</v>
      </c>
      <c r="C10" s="29">
        <v>7200</v>
      </c>
      <c r="D10" s="29">
        <f>12 * C10</f>
        <v>86400</v>
      </c>
      <c r="E10">
        <v>94.8</v>
      </c>
      <c r="F10">
        <v>1.7999999999999999E-2</v>
      </c>
      <c r="G10" t="s">
        <v>54</v>
      </c>
    </row>
    <row r="11" spans="1:7" x14ac:dyDescent="0.2">
      <c r="A11" t="s">
        <v>74</v>
      </c>
      <c r="B11" t="s">
        <v>65</v>
      </c>
      <c r="C11" s="29">
        <v>6100</v>
      </c>
      <c r="D11" s="29">
        <f>12 * C11</f>
        <v>73200</v>
      </c>
      <c r="E11">
        <v>96.8</v>
      </c>
      <c r="F11">
        <v>6.0000000000000001E-3</v>
      </c>
      <c r="G11" t="s">
        <v>54</v>
      </c>
    </row>
    <row r="12" spans="1:7" x14ac:dyDescent="0.2">
      <c r="A12" t="s">
        <v>69</v>
      </c>
      <c r="B12" t="s">
        <v>65</v>
      </c>
      <c r="C12" s="29">
        <v>5500</v>
      </c>
      <c r="D12" s="29">
        <f>12 * C12</f>
        <v>66000</v>
      </c>
      <c r="E12">
        <v>90.2</v>
      </c>
      <c r="F12">
        <v>1.4999999999999999E-2</v>
      </c>
      <c r="G12" t="s">
        <v>54</v>
      </c>
    </row>
    <row r="13" spans="1:7" x14ac:dyDescent="0.2">
      <c r="A13" t="s">
        <v>71</v>
      </c>
      <c r="B13" t="s">
        <v>65</v>
      </c>
      <c r="C13" s="29">
        <v>5200</v>
      </c>
      <c r="D13" s="29">
        <f>12 * C13</f>
        <v>62400</v>
      </c>
      <c r="E13">
        <v>93.8</v>
      </c>
      <c r="F13">
        <v>5.0000000000000001E-3</v>
      </c>
      <c r="G13" t="s">
        <v>54</v>
      </c>
    </row>
    <row r="14" spans="1:7" x14ac:dyDescent="0.2">
      <c r="A14" t="s">
        <v>64</v>
      </c>
      <c r="B14" t="s">
        <v>65</v>
      </c>
      <c r="C14" s="29">
        <v>4800</v>
      </c>
      <c r="D14" s="29">
        <f>12 * C14</f>
        <v>57600</v>
      </c>
      <c r="E14">
        <v>82.2</v>
      </c>
      <c r="F14">
        <v>1.2999999999999999E-2</v>
      </c>
      <c r="G14" t="s">
        <v>54</v>
      </c>
    </row>
    <row r="15" spans="1:7" x14ac:dyDescent="0.2">
      <c r="A15" t="s">
        <v>68</v>
      </c>
      <c r="B15" t="s">
        <v>65</v>
      </c>
      <c r="C15" s="29">
        <v>4500</v>
      </c>
      <c r="D15" s="29">
        <f>12 * C15</f>
        <v>54000</v>
      </c>
      <c r="E15">
        <v>88.2</v>
      </c>
      <c r="F15">
        <v>1.7000000000000001E-2</v>
      </c>
      <c r="G15" t="s">
        <v>54</v>
      </c>
    </row>
    <row r="16" spans="1:7" x14ac:dyDescent="0.2">
      <c r="A16" t="s">
        <v>67</v>
      </c>
      <c r="B16" t="s">
        <v>65</v>
      </c>
      <c r="C16" s="29">
        <v>4200</v>
      </c>
      <c r="D16" s="29">
        <f>12 * C16</f>
        <v>50400</v>
      </c>
      <c r="E16">
        <v>87</v>
      </c>
      <c r="F16">
        <v>8.9999999999999993E-3</v>
      </c>
      <c r="G16" t="s">
        <v>54</v>
      </c>
    </row>
    <row r="17" spans="1:7" x14ac:dyDescent="0.2">
      <c r="A17" t="s">
        <v>62</v>
      </c>
      <c r="B17" t="s">
        <v>35</v>
      </c>
      <c r="C17" s="29">
        <v>1450</v>
      </c>
      <c r="D17" s="29">
        <f>12 * C17</f>
        <v>17400</v>
      </c>
      <c r="E17">
        <v>75.2</v>
      </c>
      <c r="F17">
        <v>3.5000000000000003E-2</v>
      </c>
      <c r="G17" t="s">
        <v>54</v>
      </c>
    </row>
    <row r="18" spans="1:7" x14ac:dyDescent="0.2">
      <c r="A18" t="s">
        <v>57</v>
      </c>
      <c r="B18" t="s">
        <v>35</v>
      </c>
      <c r="C18" s="29">
        <v>1350</v>
      </c>
      <c r="D18" s="29">
        <f>12 * C18</f>
        <v>16200</v>
      </c>
      <c r="E18">
        <v>65.2</v>
      </c>
      <c r="F18">
        <v>5.5E-2</v>
      </c>
      <c r="G18" t="s">
        <v>54</v>
      </c>
    </row>
    <row r="19" spans="1:7" x14ac:dyDescent="0.2">
      <c r="A19" t="s">
        <v>60</v>
      </c>
      <c r="B19" t="s">
        <v>35</v>
      </c>
      <c r="C19" s="29">
        <v>1100</v>
      </c>
      <c r="D19" s="29">
        <f>12 * C19</f>
        <v>13200</v>
      </c>
      <c r="E19">
        <v>70.2</v>
      </c>
      <c r="F19">
        <v>5.0999999999999997E-2</v>
      </c>
      <c r="G19" t="s">
        <v>54</v>
      </c>
    </row>
    <row r="20" spans="1:7" x14ac:dyDescent="0.2">
      <c r="A20" t="s">
        <v>55</v>
      </c>
      <c r="B20" t="s">
        <v>21</v>
      </c>
      <c r="C20" s="29">
        <v>250</v>
      </c>
      <c r="D20" s="29">
        <f>12 * C20</f>
        <v>3000</v>
      </c>
      <c r="E20">
        <v>54.8</v>
      </c>
      <c r="F20">
        <v>8.8999999999999996E-2</v>
      </c>
      <c r="G20" t="s">
        <v>54</v>
      </c>
    </row>
    <row r="21" spans="1:7" x14ac:dyDescent="0.2">
      <c r="A21" t="s">
        <v>51</v>
      </c>
      <c r="B21" t="s">
        <v>21</v>
      </c>
      <c r="C21" s="29">
        <v>200</v>
      </c>
      <c r="D21" s="29">
        <f>12 * C21</f>
        <v>2400</v>
      </c>
      <c r="E21">
        <v>47.2</v>
      </c>
      <c r="F21">
        <v>0.127</v>
      </c>
      <c r="G21" t="s">
        <v>54</v>
      </c>
    </row>
  </sheetData>
  <conditionalFormatting sqref="G1:G21">
    <cfRule type="containsText" dxfId="1" priority="2" operator="containsText" text="Critical">
      <formula>NOT(ISERROR(SEARCH("Critical",G1)))</formula>
    </cfRule>
  </conditionalFormatting>
  <conditionalFormatting sqref="G2:G21">
    <cfRule type="containsText" dxfId="0" priority="1" operator="containsText" text="Low">
      <formula>NOT(ISERROR(SEARCH("Low",G2)))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D6DB-DABA-E04C-9654-177B0A472284}">
  <dimension ref="A1:L15"/>
  <sheetViews>
    <sheetView workbookViewId="0">
      <selection activeCell="C7" sqref="C7"/>
    </sheetView>
  </sheetViews>
  <sheetFormatPr baseColWidth="10" defaultRowHeight="16" x14ac:dyDescent="0.2"/>
  <cols>
    <col min="1" max="1" width="23.33203125" bestFit="1" customWidth="1"/>
    <col min="2" max="2" width="11.83203125" bestFit="1" customWidth="1"/>
  </cols>
  <sheetData>
    <row r="1" spans="1:12" ht="35" customHeight="1" x14ac:dyDescent="0.2">
      <c r="A1" s="30" t="s">
        <v>103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18" x14ac:dyDescent="0.2">
      <c r="A3" s="31" t="s">
        <v>104</v>
      </c>
      <c r="B3" s="31"/>
    </row>
    <row r="4" spans="1:12" x14ac:dyDescent="0.2">
      <c r="A4" t="s">
        <v>105</v>
      </c>
      <c r="B4">
        <v>12</v>
      </c>
    </row>
    <row r="5" spans="1:12" x14ac:dyDescent="0.2">
      <c r="A5" t="s">
        <v>77</v>
      </c>
      <c r="B5" s="29">
        <v>46705</v>
      </c>
    </row>
    <row r="6" spans="1:12" x14ac:dyDescent="0.2">
      <c r="A6" t="s">
        <v>106</v>
      </c>
      <c r="B6" s="29">
        <f>B5/B4</f>
        <v>3892.0833333333335</v>
      </c>
    </row>
    <row r="7" spans="1:12" x14ac:dyDescent="0.2">
      <c r="A7" t="s">
        <v>107</v>
      </c>
      <c r="B7" s="13">
        <v>0.4</v>
      </c>
    </row>
    <row r="8" spans="1:12" x14ac:dyDescent="0.2">
      <c r="A8" t="s">
        <v>108</v>
      </c>
      <c r="B8" s="13">
        <v>0.25</v>
      </c>
    </row>
    <row r="10" spans="1:12" x14ac:dyDescent="0.2">
      <c r="A10" s="32" t="s">
        <v>109</v>
      </c>
      <c r="B10" s="32"/>
    </row>
    <row r="11" spans="1:12" x14ac:dyDescent="0.2">
      <c r="A11" t="s">
        <v>110</v>
      </c>
      <c r="B11" s="13">
        <f>B7-B8</f>
        <v>0.15000000000000002</v>
      </c>
    </row>
    <row r="12" spans="1:12" x14ac:dyDescent="0.2">
      <c r="A12" t="s">
        <v>111</v>
      </c>
      <c r="B12">
        <f>ROUND(B4*(B7-B8),0)</f>
        <v>2</v>
      </c>
    </row>
    <row r="13" spans="1:12" x14ac:dyDescent="0.2">
      <c r="A13" t="s">
        <v>112</v>
      </c>
      <c r="B13" s="29">
        <f>B12*B6</f>
        <v>7784.166666666667</v>
      </c>
    </row>
    <row r="14" spans="1:12" x14ac:dyDescent="0.2">
      <c r="A14" t="s">
        <v>113</v>
      </c>
      <c r="B14" s="29">
        <f>B13*12</f>
        <v>93410</v>
      </c>
    </row>
    <row r="15" spans="1:12" x14ac:dyDescent="0.2">
      <c r="A15" t="s">
        <v>114</v>
      </c>
      <c r="B15" s="29">
        <f>B14*3</f>
        <v>280230</v>
      </c>
    </row>
  </sheetData>
  <mergeCells count="3">
    <mergeCell ref="A1:L1"/>
    <mergeCell ref="A3:B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Revenue Breakdown</vt:lpstr>
      <vt:lpstr>At-Risk Customers</vt:lpstr>
      <vt:lpstr>What-If Model</vt:lpstr>
      <vt:lpstr>Summary!churn_scored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Hamad</dc:creator>
  <cp:lastModifiedBy>Yousef Hamad</cp:lastModifiedBy>
  <dcterms:created xsi:type="dcterms:W3CDTF">2026-05-28T17:32:04Z</dcterms:created>
  <dcterms:modified xsi:type="dcterms:W3CDTF">2026-05-29T18:47:19Z</dcterms:modified>
</cp:coreProperties>
</file>